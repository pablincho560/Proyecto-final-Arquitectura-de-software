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Proyecto arquitectura\"/>
    </mc:Choice>
  </mc:AlternateContent>
  <xr:revisionPtr revIDLastSave="0" documentId="13_ncr:1_{8B7CCA2A-606A-4304-ACBB-4707E2DF9C08}" xr6:coauthVersionLast="47" xr6:coauthVersionMax="47" xr10:uidLastSave="{00000000-0000-0000-0000-000000000000}"/>
  <bookViews>
    <workbookView xWindow="-120" yWindow="-120" windowWidth="20730" windowHeight="11040" xr2:uid="{90E9591E-4D45-477A-8225-9B5E31EE1D56}"/>
  </bookViews>
  <sheets>
    <sheet name="Planning pocket- estima PERT" sheetId="1" r:id="rId1"/>
    <sheet name="Capacidad y esfuerzo del equi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B10" i="2"/>
  <c r="B4" i="2"/>
  <c r="B6" i="2" s="1"/>
  <c r="B24" i="1"/>
  <c r="E20" i="1"/>
  <c r="F20" i="1"/>
  <c r="G20" i="1"/>
  <c r="H20" i="1"/>
  <c r="I20" i="1"/>
  <c r="B25" i="1" s="1"/>
  <c r="F5" i="2" s="1"/>
  <c r="I3" i="1"/>
  <c r="I4" i="1"/>
  <c r="I2" i="1"/>
  <c r="F13" i="2" l="1"/>
</calcChain>
</file>

<file path=xl/sharedStrings.xml><?xml version="1.0" encoding="utf-8"?>
<sst xmlns="http://schemas.openxmlformats.org/spreadsheetml/2006/main" count="110" uniqueCount="78">
  <si>
    <t>MVP / Fase</t>
  </si>
  <si>
    <t>ID</t>
  </si>
  <si>
    <t>Componente / Requerimiento</t>
  </si>
  <si>
    <t>Story Points (SP)</t>
  </si>
  <si>
    <t>MVP 1(Núcleo Operativo)</t>
  </si>
  <si>
    <t>RF-001</t>
  </si>
  <si>
    <t>Registro de Platos y Menú</t>
  </si>
  <si>
    <t>Funcional</t>
  </si>
  <si>
    <t>RF-002</t>
  </si>
  <si>
    <t>Registro de Órdenes o Pedidos</t>
  </si>
  <si>
    <t>RF-003</t>
  </si>
  <si>
    <t>Solicitud de Alimentos</t>
  </si>
  <si>
    <t>RF-004</t>
  </si>
  <si>
    <t>Control de Inventario y Alertas</t>
  </si>
  <si>
    <t>RF-010</t>
  </si>
  <si>
    <t>Administración, Auditoría y Logs</t>
  </si>
  <si>
    <t>RFN-01</t>
  </si>
  <si>
    <t>Autenticación y Autorización Segura</t>
  </si>
  <si>
    <t>No Funcional</t>
  </si>
  <si>
    <t>RFN-05</t>
  </si>
  <si>
    <t>Mantenibilidad, Auditoría y Trazabilidad</t>
  </si>
  <si>
    <t>RFN-06</t>
  </si>
  <si>
    <t>Lineamientos Tecnológicos (Stack)</t>
  </si>
  <si>
    <t>MVP 2(Abastecimiento y Compras)</t>
  </si>
  <si>
    <t>RF-005</t>
  </si>
  <si>
    <t>Consulta y Seguimiento Solicitudes</t>
  </si>
  <si>
    <t>RF-006</t>
  </si>
  <si>
    <t>Generación y Envío Cotizaciones</t>
  </si>
  <si>
    <t>RF-007</t>
  </si>
  <si>
    <t>Validación Clasificación Cotizaciones</t>
  </si>
  <si>
    <t>RF-008</t>
  </si>
  <si>
    <t>Generación Órdenes de Compra</t>
  </si>
  <si>
    <t>RF-011</t>
  </si>
  <si>
    <t>Consulta Precios MinComercio</t>
  </si>
  <si>
    <t>RFN-04</t>
  </si>
  <si>
    <t>Almacenamiento, Respaldo y Portabilidad</t>
  </si>
  <si>
    <t>RFN-07</t>
  </si>
  <si>
    <t>Estándar de Integración Externa (SOAP)</t>
  </si>
  <si>
    <t>MVP 3(Analítica y Negocio)</t>
  </si>
  <si>
    <t>RF-009</t>
  </si>
  <si>
    <t>Tablero BAM y Negocio</t>
  </si>
  <si>
    <t>RFN-02</t>
  </si>
  <si>
    <t>Desempeño y Alta Disponibilidad</t>
  </si>
  <si>
    <t>RFN-03</t>
  </si>
  <si>
    <t>Interfaz Adaptativa y Responsive</t>
  </si>
  <si>
    <t>Tipo Requerimiento</t>
  </si>
  <si>
    <t>Optimista (O) (h)</t>
  </si>
  <si>
    <t>Más Probable (M) (h)</t>
  </si>
  <si>
    <t>Pesimista (P) (h)</t>
  </si>
  <si>
    <t>Horas PERT € (h)</t>
  </si>
  <si>
    <t>Puntos de historia de usuario</t>
  </si>
  <si>
    <t>Estimación PERT (h)</t>
  </si>
  <si>
    <t/>
  </si>
  <si>
    <t>Métrica</t>
  </si>
  <si>
    <t>Valor</t>
  </si>
  <si>
    <t>Justificación Técnica</t>
  </si>
  <si>
    <t>Fecha de Inicio</t>
  </si>
  <si>
    <t>Arranque oficial del desarrollo</t>
  </si>
  <si>
    <t>Fecha Límite</t>
  </si>
  <si>
    <t>Entrega final establecida</t>
  </si>
  <si>
    <t>Duración Bruta</t>
  </si>
  <si>
    <t>Tiempo total de calendario</t>
  </si>
  <si>
    <t>Colchón de Seguridad</t>
  </si>
  <si>
    <t>Reserva para pruebas y ajustes finales</t>
  </si>
  <si>
    <t>Semanas Netas</t>
  </si>
  <si>
    <t>Ventana efectiva de ejecución</t>
  </si>
  <si>
    <t>Variable del Recurso</t>
  </si>
  <si>
    <t>Configuración del Equipo</t>
  </si>
  <si>
    <t>Tamaño del Equipo (Personas)</t>
  </si>
  <si>
    <t>Estudiantes Konrad Lorenz</t>
  </si>
  <si>
    <t>Días Laborales / semana</t>
  </si>
  <si>
    <t>Incluyendo jornadas de sábado</t>
  </si>
  <si>
    <t>Dedicación Diaria (h)</t>
  </si>
  <si>
    <t>Horas netas efectivas por integrante</t>
  </si>
  <si>
    <t>Esfuerzo Requerido</t>
  </si>
  <si>
    <t>Demanda técnica calculada por PERT</t>
  </si>
  <si>
    <t>Capacidad del Equipo</t>
  </si>
  <si>
    <t>¿Podemos completar el desarrollo del proyecto?: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</si>
</sst>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2" fillId="3" borderId="9" xfId="0" applyFont="1" applyFill="1" applyBorder="1"/>
    <xf numFmtId="0" fontId="2" fillId="0" borderId="10" xfId="0" applyFont="1" applyBorder="1"/>
    <xf numFmtId="0" fontId="2" fillId="3" borderId="11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0" xfId="0" quotePrefix="1"/>
    <xf numFmtId="0" fontId="1" fillId="0" borderId="12" xfId="0" applyFont="1" applyBorder="1"/>
    <xf numFmtId="0" fontId="0" fillId="3" borderId="13" xfId="0" applyFill="1" applyBorder="1"/>
    <xf numFmtId="0" fontId="0" fillId="0" borderId="12" xfId="0" applyBorder="1"/>
    <xf numFmtId="0" fontId="1" fillId="4" borderId="1" xfId="0" applyFont="1" applyFill="1" applyBorder="1"/>
    <xf numFmtId="14" fontId="1" fillId="0" borderId="1" xfId="0" applyNumberFormat="1" applyFont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3" fillId="0" borderId="1" xfId="0" applyFont="1" applyBorder="1" applyAlignment="1">
      <alignment horizontal="left" vertical="center" readingOrder="1"/>
    </xf>
    <xf numFmtId="0" fontId="3" fillId="5" borderId="1" xfId="0" applyFont="1" applyFill="1" applyBorder="1" applyAlignment="1">
      <alignment horizontal="left" vertical="center" readingOrder="1"/>
    </xf>
    <xf numFmtId="0" fontId="2" fillId="4" borderId="15" xfId="0" applyFont="1" applyFill="1" applyBorder="1"/>
    <xf numFmtId="0" fontId="0" fillId="3" borderId="14" xfId="0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049C-5D94-4C44-85E3-F5B0AFB59004}">
  <dimension ref="A1:I26"/>
  <sheetViews>
    <sheetView tabSelected="1" workbookViewId="0">
      <selection activeCell="B12" sqref="B12"/>
    </sheetView>
  </sheetViews>
  <sheetFormatPr baseColWidth="10" defaultRowHeight="15" x14ac:dyDescent="0.25"/>
  <cols>
    <col min="1" max="1" width="42.42578125" customWidth="1"/>
    <col min="3" max="3" width="36.140625" bestFit="1" customWidth="1"/>
    <col min="4" max="4" width="17" bestFit="1" customWidth="1"/>
    <col min="6" max="6" width="14.85546875" bestFit="1" customWidth="1"/>
    <col min="7" max="7" width="18.5703125" bestFit="1" customWidth="1"/>
    <col min="8" max="8" width="15" bestFit="1" customWidth="1"/>
    <col min="9" max="9" width="15.5703125" bestFit="1" customWidth="1"/>
  </cols>
  <sheetData>
    <row r="1" spans="1:9" ht="15.75" thickBot="1" x14ac:dyDescent="0.3">
      <c r="A1" s="15" t="s">
        <v>0</v>
      </c>
      <c r="B1" s="16" t="s">
        <v>1</v>
      </c>
      <c r="C1" s="16" t="s">
        <v>2</v>
      </c>
      <c r="D1" s="16" t="s">
        <v>45</v>
      </c>
      <c r="E1" s="16" t="s">
        <v>3</v>
      </c>
      <c r="F1" s="16" t="s">
        <v>46</v>
      </c>
      <c r="G1" s="16" t="s">
        <v>47</v>
      </c>
      <c r="H1" s="16" t="s">
        <v>48</v>
      </c>
      <c r="I1" s="17" t="s">
        <v>49</v>
      </c>
    </row>
    <row r="2" spans="1:9" x14ac:dyDescent="0.25">
      <c r="A2" s="3" t="s">
        <v>4</v>
      </c>
      <c r="B2" s="4" t="s">
        <v>5</v>
      </c>
      <c r="C2" s="4" t="s">
        <v>6</v>
      </c>
      <c r="D2" s="4" t="s">
        <v>7</v>
      </c>
      <c r="E2" s="5">
        <v>3</v>
      </c>
      <c r="F2" s="4">
        <v>6</v>
      </c>
      <c r="G2" s="4">
        <v>12</v>
      </c>
      <c r="H2" s="4">
        <v>20</v>
      </c>
      <c r="I2" s="6">
        <f>(F2+4*(G2)+H2)/6</f>
        <v>12.333333333333334</v>
      </c>
    </row>
    <row r="3" spans="1:9" x14ac:dyDescent="0.25">
      <c r="A3" s="7" t="s">
        <v>4</v>
      </c>
      <c r="B3" s="1" t="s">
        <v>8</v>
      </c>
      <c r="C3" s="1" t="s">
        <v>9</v>
      </c>
      <c r="D3" s="1" t="s">
        <v>7</v>
      </c>
      <c r="E3" s="2">
        <v>5</v>
      </c>
      <c r="F3" s="1">
        <v>10</v>
      </c>
      <c r="G3" s="1">
        <v>16</v>
      </c>
      <c r="H3" s="1">
        <v>30</v>
      </c>
      <c r="I3" s="8">
        <f t="shared" ref="I3:I19" si="0">(F3+4*(G3)+H3)/6</f>
        <v>17.333333333333332</v>
      </c>
    </row>
    <row r="4" spans="1:9" x14ac:dyDescent="0.25">
      <c r="A4" s="7" t="s">
        <v>4</v>
      </c>
      <c r="B4" s="1" t="s">
        <v>10</v>
      </c>
      <c r="C4" s="1" t="s">
        <v>11</v>
      </c>
      <c r="D4" s="1" t="s">
        <v>7</v>
      </c>
      <c r="E4" s="2">
        <v>3</v>
      </c>
      <c r="F4" s="1">
        <v>6</v>
      </c>
      <c r="G4" s="1">
        <v>10</v>
      </c>
      <c r="H4" s="1">
        <v>18</v>
      </c>
      <c r="I4" s="8">
        <f t="shared" si="0"/>
        <v>10.666666666666666</v>
      </c>
    </row>
    <row r="5" spans="1:9" x14ac:dyDescent="0.25">
      <c r="A5" s="7" t="s">
        <v>4</v>
      </c>
      <c r="B5" s="1" t="s">
        <v>12</v>
      </c>
      <c r="C5" s="1" t="s">
        <v>13</v>
      </c>
      <c r="D5" s="1" t="s">
        <v>7</v>
      </c>
      <c r="E5" s="2">
        <v>5</v>
      </c>
      <c r="F5" s="1">
        <v>12</v>
      </c>
      <c r="G5" s="1">
        <v>20</v>
      </c>
      <c r="H5" s="1">
        <v>32</v>
      </c>
      <c r="I5" s="8">
        <f t="shared" si="0"/>
        <v>20.666666666666668</v>
      </c>
    </row>
    <row r="6" spans="1:9" x14ac:dyDescent="0.25">
      <c r="A6" s="7" t="s">
        <v>4</v>
      </c>
      <c r="B6" s="1" t="s">
        <v>14</v>
      </c>
      <c r="C6" s="1" t="s">
        <v>15</v>
      </c>
      <c r="D6" s="1" t="s">
        <v>7</v>
      </c>
      <c r="E6" s="2">
        <v>3</v>
      </c>
      <c r="F6" s="1">
        <v>8</v>
      </c>
      <c r="G6" s="1">
        <v>14</v>
      </c>
      <c r="H6" s="1">
        <v>24</v>
      </c>
      <c r="I6" s="8">
        <f t="shared" si="0"/>
        <v>14.666666666666666</v>
      </c>
    </row>
    <row r="7" spans="1:9" x14ac:dyDescent="0.25">
      <c r="A7" s="7" t="s">
        <v>4</v>
      </c>
      <c r="B7" s="1" t="s">
        <v>16</v>
      </c>
      <c r="C7" s="1" t="s">
        <v>17</v>
      </c>
      <c r="D7" s="1" t="s">
        <v>18</v>
      </c>
      <c r="E7" s="2">
        <v>5</v>
      </c>
      <c r="F7" s="1">
        <v>10</v>
      </c>
      <c r="G7" s="1">
        <v>18</v>
      </c>
      <c r="H7" s="1">
        <v>30</v>
      </c>
      <c r="I7" s="8">
        <f t="shared" si="0"/>
        <v>18.666666666666668</v>
      </c>
    </row>
    <row r="8" spans="1:9" x14ac:dyDescent="0.25">
      <c r="A8" s="7" t="s">
        <v>4</v>
      </c>
      <c r="B8" s="1" t="s">
        <v>19</v>
      </c>
      <c r="C8" s="1" t="s">
        <v>20</v>
      </c>
      <c r="D8" s="1" t="s">
        <v>18</v>
      </c>
      <c r="E8" s="2">
        <v>5</v>
      </c>
      <c r="F8" s="1">
        <v>10</v>
      </c>
      <c r="G8" s="1">
        <v>18</v>
      </c>
      <c r="H8" s="1">
        <v>30</v>
      </c>
      <c r="I8" s="8">
        <f t="shared" si="0"/>
        <v>18.666666666666668</v>
      </c>
    </row>
    <row r="9" spans="1:9" ht="15.75" thickBot="1" x14ac:dyDescent="0.3">
      <c r="A9" s="9" t="s">
        <v>4</v>
      </c>
      <c r="B9" s="10" t="s">
        <v>21</v>
      </c>
      <c r="C9" s="10" t="s">
        <v>22</v>
      </c>
      <c r="D9" s="10" t="s">
        <v>18</v>
      </c>
      <c r="E9" s="11">
        <v>2</v>
      </c>
      <c r="F9" s="10">
        <v>4</v>
      </c>
      <c r="G9" s="10">
        <v>8</v>
      </c>
      <c r="H9" s="10">
        <v>14</v>
      </c>
      <c r="I9" s="8">
        <f t="shared" si="0"/>
        <v>8.3333333333333339</v>
      </c>
    </row>
    <row r="10" spans="1:9" x14ac:dyDescent="0.25">
      <c r="A10" s="3" t="s">
        <v>23</v>
      </c>
      <c r="B10" s="4" t="s">
        <v>24</v>
      </c>
      <c r="C10" s="4" t="s">
        <v>25</v>
      </c>
      <c r="D10" s="4" t="s">
        <v>7</v>
      </c>
      <c r="E10" s="5">
        <v>3</v>
      </c>
      <c r="F10" s="4">
        <v>6</v>
      </c>
      <c r="G10" s="4">
        <v>10</v>
      </c>
      <c r="H10" s="4">
        <v>16</v>
      </c>
      <c r="I10" s="8">
        <f t="shared" si="0"/>
        <v>10.333333333333334</v>
      </c>
    </row>
    <row r="11" spans="1:9" x14ac:dyDescent="0.25">
      <c r="A11" s="7" t="s">
        <v>23</v>
      </c>
      <c r="B11" s="1" t="s">
        <v>26</v>
      </c>
      <c r="C11" s="1" t="s">
        <v>27</v>
      </c>
      <c r="D11" s="1" t="s">
        <v>7</v>
      </c>
      <c r="E11" s="2">
        <v>8</v>
      </c>
      <c r="F11" s="1">
        <v>16</v>
      </c>
      <c r="G11" s="1">
        <v>28</v>
      </c>
      <c r="H11" s="1">
        <v>45</v>
      </c>
      <c r="I11" s="8">
        <f t="shared" si="0"/>
        <v>28.833333333333332</v>
      </c>
    </row>
    <row r="12" spans="1:9" x14ac:dyDescent="0.25">
      <c r="A12" s="7" t="s">
        <v>23</v>
      </c>
      <c r="B12" s="1" t="s">
        <v>28</v>
      </c>
      <c r="C12" s="1" t="s">
        <v>29</v>
      </c>
      <c r="D12" s="1" t="s">
        <v>7</v>
      </c>
      <c r="E12" s="2">
        <v>5</v>
      </c>
      <c r="F12" s="1">
        <v>10</v>
      </c>
      <c r="G12" s="1">
        <v>18</v>
      </c>
      <c r="H12" s="1">
        <v>30</v>
      </c>
      <c r="I12" s="8">
        <f t="shared" si="0"/>
        <v>18.666666666666668</v>
      </c>
    </row>
    <row r="13" spans="1:9" x14ac:dyDescent="0.25">
      <c r="A13" s="7" t="s">
        <v>23</v>
      </c>
      <c r="B13" s="1" t="s">
        <v>30</v>
      </c>
      <c r="C13" s="1" t="s">
        <v>31</v>
      </c>
      <c r="D13" s="1" t="s">
        <v>7</v>
      </c>
      <c r="E13" s="2">
        <v>3</v>
      </c>
      <c r="F13" s="1">
        <v>6</v>
      </c>
      <c r="G13" s="1">
        <v>12</v>
      </c>
      <c r="H13" s="1">
        <v>20</v>
      </c>
      <c r="I13" s="8">
        <f t="shared" si="0"/>
        <v>12.333333333333334</v>
      </c>
    </row>
    <row r="14" spans="1:9" x14ac:dyDescent="0.25">
      <c r="A14" s="7" t="s">
        <v>23</v>
      </c>
      <c r="B14" s="1" t="s">
        <v>32</v>
      </c>
      <c r="C14" s="1" t="s">
        <v>33</v>
      </c>
      <c r="D14" s="1" t="s">
        <v>7</v>
      </c>
      <c r="E14" s="2">
        <v>5</v>
      </c>
      <c r="F14" s="1">
        <v>10</v>
      </c>
      <c r="G14" s="1">
        <v>16</v>
      </c>
      <c r="H14" s="1">
        <v>28</v>
      </c>
      <c r="I14" s="8">
        <f t="shared" si="0"/>
        <v>17</v>
      </c>
    </row>
    <row r="15" spans="1:9" x14ac:dyDescent="0.25">
      <c r="A15" s="7" t="s">
        <v>23</v>
      </c>
      <c r="B15" s="1" t="s">
        <v>34</v>
      </c>
      <c r="C15" s="1" t="s">
        <v>35</v>
      </c>
      <c r="D15" s="1" t="s">
        <v>18</v>
      </c>
      <c r="E15" s="2">
        <v>5</v>
      </c>
      <c r="F15" s="1">
        <v>10</v>
      </c>
      <c r="G15" s="1">
        <v>16</v>
      </c>
      <c r="H15" s="1">
        <v>28</v>
      </c>
      <c r="I15" s="8">
        <f t="shared" si="0"/>
        <v>17</v>
      </c>
    </row>
    <row r="16" spans="1:9" ht="15.75" thickBot="1" x14ac:dyDescent="0.3">
      <c r="A16" s="9" t="s">
        <v>23</v>
      </c>
      <c r="B16" s="10" t="s">
        <v>36</v>
      </c>
      <c r="C16" s="10" t="s">
        <v>37</v>
      </c>
      <c r="D16" s="10" t="s">
        <v>18</v>
      </c>
      <c r="E16" s="11">
        <v>5</v>
      </c>
      <c r="F16" s="10">
        <v>10</v>
      </c>
      <c r="G16" s="10">
        <v>16</v>
      </c>
      <c r="H16" s="10">
        <v>28</v>
      </c>
      <c r="I16" s="8">
        <f t="shared" si="0"/>
        <v>17</v>
      </c>
    </row>
    <row r="17" spans="1:9" x14ac:dyDescent="0.25">
      <c r="A17" s="3" t="s">
        <v>38</v>
      </c>
      <c r="B17" s="4" t="s">
        <v>39</v>
      </c>
      <c r="C17" s="4" t="s">
        <v>40</v>
      </c>
      <c r="D17" s="4" t="s">
        <v>7</v>
      </c>
      <c r="E17" s="5">
        <v>8</v>
      </c>
      <c r="F17" s="4">
        <v>16</v>
      </c>
      <c r="G17" s="4">
        <v>30</v>
      </c>
      <c r="H17" s="4">
        <v>50</v>
      </c>
      <c r="I17" s="8">
        <f t="shared" si="0"/>
        <v>31</v>
      </c>
    </row>
    <row r="18" spans="1:9" x14ac:dyDescent="0.25">
      <c r="A18" s="7" t="s">
        <v>38</v>
      </c>
      <c r="B18" s="1" t="s">
        <v>41</v>
      </c>
      <c r="C18" s="1" t="s">
        <v>42</v>
      </c>
      <c r="D18" s="1" t="s">
        <v>18</v>
      </c>
      <c r="E18" s="2">
        <v>8</v>
      </c>
      <c r="F18" s="1">
        <v>16</v>
      </c>
      <c r="G18" s="1">
        <v>28</v>
      </c>
      <c r="H18" s="1">
        <v>45</v>
      </c>
      <c r="I18" s="8">
        <f t="shared" si="0"/>
        <v>28.833333333333332</v>
      </c>
    </row>
    <row r="19" spans="1:9" ht="15.75" thickBot="1" x14ac:dyDescent="0.3">
      <c r="A19" s="9" t="s">
        <v>38</v>
      </c>
      <c r="B19" s="10" t="s">
        <v>43</v>
      </c>
      <c r="C19" s="10" t="s">
        <v>44</v>
      </c>
      <c r="D19" s="10" t="s">
        <v>18</v>
      </c>
      <c r="E19" s="11">
        <v>3</v>
      </c>
      <c r="F19" s="10">
        <v>6</v>
      </c>
      <c r="G19" s="10">
        <v>12</v>
      </c>
      <c r="H19" s="10">
        <v>20</v>
      </c>
      <c r="I19" s="8">
        <f t="shared" si="0"/>
        <v>12.333333333333334</v>
      </c>
    </row>
    <row r="20" spans="1:9" ht="15.75" thickBot="1" x14ac:dyDescent="0.3">
      <c r="E20" s="12">
        <f t="shared" ref="E20:H20" si="1">SUM(E2:E19)</f>
        <v>84</v>
      </c>
      <c r="F20" s="13">
        <f t="shared" si="1"/>
        <v>172</v>
      </c>
      <c r="G20" s="13">
        <f t="shared" si="1"/>
        <v>302</v>
      </c>
      <c r="H20" s="13">
        <f t="shared" si="1"/>
        <v>508</v>
      </c>
      <c r="I20" s="14">
        <f>SUM(I2:I19)</f>
        <v>314.66666666666663</v>
      </c>
    </row>
    <row r="23" spans="1:9" ht="15.75" thickBot="1" x14ac:dyDescent="0.3"/>
    <row r="24" spans="1:9" ht="15.75" thickBot="1" x14ac:dyDescent="0.3">
      <c r="A24" s="19" t="s">
        <v>50</v>
      </c>
      <c r="B24" s="20">
        <f>E20</f>
        <v>84</v>
      </c>
    </row>
    <row r="25" spans="1:9" ht="15.75" thickBot="1" x14ac:dyDescent="0.3">
      <c r="A25" s="21" t="s">
        <v>51</v>
      </c>
      <c r="B25" s="20">
        <f>I20</f>
        <v>314.66666666666663</v>
      </c>
    </row>
    <row r="26" spans="1:9" x14ac:dyDescent="0.25">
      <c r="A26" s="1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5D64-D9BD-4890-B4DC-F7D0925CF098}">
  <dimension ref="A1:G14"/>
  <sheetViews>
    <sheetView workbookViewId="0">
      <selection activeCell="F13" sqref="F13:F14"/>
    </sheetView>
  </sheetViews>
  <sheetFormatPr baseColWidth="10" defaultRowHeight="15" x14ac:dyDescent="0.25"/>
  <cols>
    <col min="1" max="1" width="22.5703125" customWidth="1"/>
    <col min="3" max="3" width="33.42578125" bestFit="1" customWidth="1"/>
    <col min="5" max="5" width="26.85546875" bestFit="1" customWidth="1"/>
    <col min="6" max="6" width="13.140625" bestFit="1" customWidth="1"/>
    <col min="7" max="7" width="37.42578125" bestFit="1" customWidth="1"/>
  </cols>
  <sheetData>
    <row r="1" spans="1:7" x14ac:dyDescent="0.25">
      <c r="A1" s="22" t="s">
        <v>53</v>
      </c>
      <c r="B1" s="22" t="s">
        <v>54</v>
      </c>
      <c r="C1" s="22" t="s">
        <v>55</v>
      </c>
      <c r="E1" s="25" t="s">
        <v>66</v>
      </c>
      <c r="F1" s="25" t="s">
        <v>54</v>
      </c>
      <c r="G1" s="25" t="s">
        <v>67</v>
      </c>
    </row>
    <row r="2" spans="1:7" x14ac:dyDescent="0.25">
      <c r="A2" s="1" t="s">
        <v>56</v>
      </c>
      <c r="B2" s="23">
        <v>46271</v>
      </c>
      <c r="C2" s="1" t="s">
        <v>57</v>
      </c>
      <c r="E2" s="1" t="s">
        <v>68</v>
      </c>
      <c r="F2" s="26">
        <v>4</v>
      </c>
      <c r="G2" s="26" t="s">
        <v>69</v>
      </c>
    </row>
    <row r="3" spans="1:7" x14ac:dyDescent="0.25">
      <c r="A3" s="1" t="s">
        <v>58</v>
      </c>
      <c r="B3" s="23">
        <v>46335</v>
      </c>
      <c r="C3" s="1" t="s">
        <v>59</v>
      </c>
      <c r="E3" s="1" t="s">
        <v>70</v>
      </c>
      <c r="F3" s="26">
        <v>6</v>
      </c>
      <c r="G3" s="26" t="s">
        <v>71</v>
      </c>
    </row>
    <row r="4" spans="1:7" x14ac:dyDescent="0.25">
      <c r="A4" s="1" t="s">
        <v>60</v>
      </c>
      <c r="B4" s="2">
        <f>B3-B2</f>
        <v>64</v>
      </c>
      <c r="C4" s="1" t="s">
        <v>61</v>
      </c>
      <c r="E4" s="1" t="s">
        <v>72</v>
      </c>
      <c r="F4" s="26">
        <v>1.51</v>
      </c>
      <c r="G4" s="26" t="s">
        <v>73</v>
      </c>
    </row>
    <row r="5" spans="1:7" x14ac:dyDescent="0.25">
      <c r="A5" s="1" t="s">
        <v>62</v>
      </c>
      <c r="B5" s="2">
        <v>7</v>
      </c>
      <c r="C5" s="1" t="s">
        <v>63</v>
      </c>
      <c r="E5" s="1" t="s">
        <v>74</v>
      </c>
      <c r="F5" s="27">
        <f>'Planning pocket- estima PERT'!B25</f>
        <v>314.66666666666663</v>
      </c>
      <c r="G5" s="26" t="s">
        <v>75</v>
      </c>
    </row>
    <row r="6" spans="1:7" x14ac:dyDescent="0.25">
      <c r="A6" s="1" t="s">
        <v>64</v>
      </c>
      <c r="B6" s="24">
        <f>(B4-B5)/7</f>
        <v>8.1428571428571423</v>
      </c>
      <c r="C6" s="1" t="s">
        <v>65</v>
      </c>
    </row>
    <row r="9" spans="1:7" ht="15.75" thickBot="1" x14ac:dyDescent="0.3"/>
    <row r="10" spans="1:7" ht="15.75" thickBot="1" x14ac:dyDescent="0.3">
      <c r="A10" s="28" t="s">
        <v>76</v>
      </c>
      <c r="B10" s="29">
        <f>(F2*F3*F4)*B6</f>
        <v>295.09714285714284</v>
      </c>
    </row>
    <row r="12" spans="1:7" ht="15.75" thickBot="1" x14ac:dyDescent="0.3"/>
    <row r="13" spans="1:7" x14ac:dyDescent="0.25">
      <c r="C13" s="30" t="s">
        <v>77</v>
      </c>
      <c r="D13" s="31"/>
      <c r="E13" s="31"/>
      <c r="F13" s="34" t="str">
        <f>IF(B10&gt;=F5,"Si","No, es necesario reajustar el esfuerzo del equipo")</f>
        <v>No, es necesario reajustar el esfuerzo del equipo</v>
      </c>
    </row>
    <row r="14" spans="1:7" ht="15.75" thickBot="1" x14ac:dyDescent="0.3">
      <c r="C14" s="32"/>
      <c r="D14" s="33"/>
      <c r="E14" s="33"/>
      <c r="F14" s="35"/>
    </row>
  </sheetData>
  <mergeCells count="2">
    <mergeCell ref="C13:E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Planning pocket- estima PERT</vt:lpstr>
      <vt:lpstr>Capacidad y esfuerzo del 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 Forero salazar</dc:creator>
  <cp:lastModifiedBy>Pablito Forero salazar</cp:lastModifiedBy>
  <dcterms:created xsi:type="dcterms:W3CDTF">2026-09-06T07:10:36Z</dcterms:created>
  <dcterms:modified xsi:type="dcterms:W3CDTF">2026-09-06T08:52:26Z</dcterms:modified>
</cp:coreProperties>
</file>