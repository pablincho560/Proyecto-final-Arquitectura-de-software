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8_{29242276-65C5-45D2-B0CF-3D53A5A705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 Sprints" sheetId="1" r:id="rId1"/>
    <sheet name="Sprint 1 (MVP 1)" sheetId="2" r:id="rId2"/>
    <sheet name="Sprint 2 (MVP 2)" sheetId="3" r:id="rId3"/>
    <sheet name="Sprint 3 (MVP 3)" sheetId="4" r:id="rId4"/>
    <sheet name="Validacion Carga por Persona" sheetId="5" r:id="rId5"/>
  </sheets>
  <calcPr calcId="191029"/>
  <pivotCaches>
    <pivotCache cacheId="3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</calcChain>
</file>

<file path=xl/sharedStrings.xml><?xml version="1.0" encoding="utf-8"?>
<sst xmlns="http://schemas.openxmlformats.org/spreadsheetml/2006/main" count="232" uniqueCount="91">
  <si>
    <t>Sprint</t>
  </si>
  <si>
    <t>Ventana Temporal</t>
  </si>
  <si>
    <t>Duración (Sem.)</t>
  </si>
  <si>
    <t>Total Story Points</t>
  </si>
  <si>
    <t>Total Horas PERT</t>
  </si>
  <si>
    <t>Capacidad Disp. por Persona (1.51h/d, 6d/s)</t>
  </si>
  <si>
    <t>Estado Validación</t>
  </si>
  <si>
    <t>Sprint 1 (MVP 1)</t>
  </si>
  <si>
    <t>Semanas 1 a 3</t>
  </si>
  <si>
    <t>Controlado por Carga</t>
  </si>
  <si>
    <t>Sprint 2 (MVP 2)</t>
  </si>
  <si>
    <t>Semanas 4 a 6</t>
  </si>
  <si>
    <t>Sprint 3 (MVP 3)</t>
  </si>
  <si>
    <t>Semanas 7 a 8.14</t>
  </si>
  <si>
    <t>TOTAL PROYECTO</t>
  </si>
  <si>
    <t>Semanas 1 a 8.14</t>
  </si>
  <si>
    <t>Proyecto 100% Cubierto</t>
  </si>
  <si>
    <t>Semana</t>
  </si>
  <si>
    <t>Duración (semanas)</t>
  </si>
  <si>
    <t>ID</t>
  </si>
  <si>
    <t>Componente</t>
  </si>
  <si>
    <t>Tipo</t>
  </si>
  <si>
    <t>Responsable</t>
  </si>
  <si>
    <t>Story Points</t>
  </si>
  <si>
    <t>Optimista (h)</t>
  </si>
  <si>
    <t>Más Probable (h)</t>
  </si>
  <si>
    <t>Pesimista (h)</t>
  </si>
  <si>
    <t>Horas PERT (h)</t>
  </si>
  <si>
    <t>Capacidad Máx Persona (h/sprint)</t>
  </si>
  <si>
    <t>Semanas 1 - 3</t>
  </si>
  <si>
    <t>RFN-06</t>
  </si>
  <si>
    <t>Lineamientos Tecnológicos (Stack)</t>
  </si>
  <si>
    <t>No Funcional</t>
  </si>
  <si>
    <t>Pablo Forero</t>
  </si>
  <si>
    <t>RF-003</t>
  </si>
  <si>
    <t>Solicitud de Alimentos</t>
  </si>
  <si>
    <t>Funcional</t>
  </si>
  <si>
    <t>RFN-01</t>
  </si>
  <si>
    <t>Autenticación y Autorización Segura</t>
  </si>
  <si>
    <t>RF-002</t>
  </si>
  <si>
    <t>Registro de Órdenes o Pedidos</t>
  </si>
  <si>
    <t>RFN-05</t>
  </si>
  <si>
    <t>Mantenibilidad, Auditoría y Trazabilidad</t>
  </si>
  <si>
    <t>RF-010</t>
  </si>
  <si>
    <t>Administración, Auditoría y Logs</t>
  </si>
  <si>
    <t>RF-001</t>
  </si>
  <si>
    <t>Registro de Platos y Menú</t>
  </si>
  <si>
    <t>RF-004</t>
  </si>
  <si>
    <t>Control de Inventario y Alertas</t>
  </si>
  <si>
    <t>Semanas 4 - 6</t>
  </si>
  <si>
    <t>RF-005</t>
  </si>
  <si>
    <t>Consulta y Seguimiento Solicitudes</t>
  </si>
  <si>
    <t>RFN-04</t>
  </si>
  <si>
    <t>Almacenamiento, Respaldo y Portabilidad</t>
  </si>
  <si>
    <t>RF-008</t>
  </si>
  <si>
    <t>Generación Órdenes de Compra</t>
  </si>
  <si>
    <t>RF-011</t>
  </si>
  <si>
    <t>Consulta Precios MinComercio</t>
  </si>
  <si>
    <t>RFN-07</t>
  </si>
  <si>
    <t>Estándar de Integración Externa (SOAP)</t>
  </si>
  <si>
    <t>RF-007</t>
  </si>
  <si>
    <t>Validación Clasificación Cotizaciones</t>
  </si>
  <si>
    <t>RF-006</t>
  </si>
  <si>
    <t>Generación y Envío Cotizaciones</t>
  </si>
  <si>
    <t>Semanas 7 - 8.14</t>
  </si>
  <si>
    <t>RFN-03</t>
  </si>
  <si>
    <t>Interfaz Adaptativa y Responsive</t>
  </si>
  <si>
    <t>RFN-02</t>
  </si>
  <si>
    <t>Desempeño y Alta Disponibilidad</t>
  </si>
  <si>
    <t>RF-009</t>
  </si>
  <si>
    <t>Tablero BAM y Negocio</t>
  </si>
  <si>
    <t>Integrante</t>
  </si>
  <si>
    <t>SP Asignados</t>
  </si>
  <si>
    <t>Horas PERT</t>
  </si>
  <si>
    <t>Capacidad Sprint (h)</t>
  </si>
  <si>
    <t>Validación</t>
  </si>
  <si>
    <t>Sprint 1</t>
  </si>
  <si>
    <t>OK (Bajo Límite)</t>
  </si>
  <si>
    <t>Sprint 2</t>
  </si>
  <si>
    <t>OK (Ajustado)</t>
  </si>
  <si>
    <t>Sprint 3</t>
  </si>
  <si>
    <t>Requiere Horas Extra / Apoyo</t>
  </si>
  <si>
    <t>OK (Libre)</t>
  </si>
  <si>
    <t>Salim Ferez Mendez</t>
  </si>
  <si>
    <t>Juan Sebastian Salas Castillo.</t>
  </si>
  <si>
    <t>Jhon Alexander Batista Barbosa.</t>
  </si>
  <si>
    <t>Total general</t>
  </si>
  <si>
    <t xml:space="preserve"> </t>
  </si>
  <si>
    <t xml:space="preserve"> Cantidad sp por Sprint</t>
  </si>
  <si>
    <t>Horas por Sprint</t>
  </si>
  <si>
    <t>Integrantes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</si>
</sst>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ito Forero salazar" refreshedDate="46271.157552199074" createdVersion="8" refreshedVersion="8" minRefreshableVersion="3" recordCount="12" xr:uid="{1F58E27E-DF82-4394-A21B-50FA9FAC5B77}">
  <cacheSource type="worksheet">
    <worksheetSource ref="A1:F13" sheet="Validacion Carga por Persona"/>
  </cacheSource>
  <cacheFields count="6">
    <cacheField name="Integrante" numFmtId="0">
      <sharedItems count="4">
        <s v="Pablo Forero"/>
        <s v="Salim Ferez Mendez"/>
        <s v="Juan Sebastian Salas Castillo."/>
        <s v="Jhon Alexander Batista Barbosa."/>
      </sharedItems>
    </cacheField>
    <cacheField name="Sprint" numFmtId="0">
      <sharedItems count="3">
        <s v="Sprint 1"/>
        <s v="Sprint 2"/>
        <s v="Sprint 3"/>
      </sharedItems>
    </cacheField>
    <cacheField name="SP Asignados" numFmtId="0">
      <sharedItems containsSemiMixedTypes="0" containsString="0" containsNumber="1" containsInteger="1" minValue="0" maxValue="13"/>
    </cacheField>
    <cacheField name="Horas PERT" numFmtId="0">
      <sharedItems containsSemiMixedTypes="0" containsString="0" containsNumber="1" minValue="0" maxValue="46.33"/>
    </cacheField>
    <cacheField name="Capacidad Sprint (h)" numFmtId="0">
      <sharedItems containsSemiMixedTypes="0" containsString="0" containsNumber="1" minValue="19.39" maxValue="27.18"/>
    </cacheField>
    <cacheField name="Valid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"/>
    <n v="19"/>
    <n v="27.18"/>
    <s v="OK (Bajo Límite)"/>
  </r>
  <r>
    <x v="0"/>
    <x v="1"/>
    <n v="8"/>
    <n v="27.33"/>
    <n v="27.18"/>
    <s v="OK (Ajustado)"/>
  </r>
  <r>
    <x v="0"/>
    <x v="2"/>
    <n v="3"/>
    <n v="12.33"/>
    <n v="19.39"/>
    <s v="OK (Bajo Límite)"/>
  </r>
  <r>
    <x v="1"/>
    <x v="0"/>
    <n v="10"/>
    <n v="36"/>
    <n v="27.18"/>
    <s v="Requiere Horas Extra / Apoyo"/>
  </r>
  <r>
    <x v="1"/>
    <x v="1"/>
    <n v="13"/>
    <n v="46.33"/>
    <n v="27.18"/>
    <s v="Requiere Horas Extra / Apoyo"/>
  </r>
  <r>
    <x v="1"/>
    <x v="2"/>
    <n v="0"/>
    <n v="0"/>
    <n v="19.39"/>
    <s v="OK (Libre)"/>
  </r>
  <r>
    <x v="2"/>
    <x v="0"/>
    <n v="8"/>
    <n v="33.33"/>
    <n v="27.18"/>
    <s v="Requiere Horas Extra / Apoyo"/>
  </r>
  <r>
    <x v="2"/>
    <x v="1"/>
    <n v="5"/>
    <n v="18.670000000000002"/>
    <n v="27.18"/>
    <s v="OK (Bajo Límite)"/>
  </r>
  <r>
    <x v="2"/>
    <x v="2"/>
    <n v="8"/>
    <n v="28.83"/>
    <n v="19.39"/>
    <s v="Requiere Horas Extra / Apoyo"/>
  </r>
  <r>
    <x v="3"/>
    <x v="0"/>
    <n v="8"/>
    <n v="33"/>
    <n v="27.18"/>
    <s v="Requiere Horas Extra / Apoyo"/>
  </r>
  <r>
    <x v="3"/>
    <x v="1"/>
    <n v="8"/>
    <n v="28.83"/>
    <n v="27.18"/>
    <s v="Requiere Horas Extra / Apoyo"/>
  </r>
  <r>
    <x v="3"/>
    <x v="2"/>
    <n v="8"/>
    <n v="31"/>
    <n v="19.39"/>
    <s v="Requiere Horas Extra / Apoy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CD8BF-3593-4D98-AE7D-CD9E7A90A7BC}" name="TablaDinámica10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ntegrantes" colHeaderCaption="Horas por Sprint">
  <location ref="A15:E21" firstHeaderRow="1" firstDataRow="2" firstDataCol="1"/>
  <pivotFields count="6"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 " fld="3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C2A03-BE0B-48D4-9CB5-8FD75350E28B}" name="TablaDinámica9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print" colHeaderCaption=" Cantidad sp por Sprint">
  <location ref="A7:F12" firstHeaderRow="1" firstDataRow="2" firstDataCol="1"/>
  <pivotFields count="6">
    <pivotField axis="axisCol" showAll="0">
      <items count="5">
        <item x="3"/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1" max="1" width="29.5703125" bestFit="1" customWidth="1"/>
    <col min="2" max="2" width="22.42578125" bestFit="1" customWidth="1"/>
    <col min="3" max="4" width="7.7109375" bestFit="1" customWidth="1"/>
    <col min="5" max="6" width="12.5703125" bestFit="1" customWidth="1"/>
    <col min="7" max="7" width="22.2851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>
        <v>3</v>
      </c>
      <c r="D2" s="1">
        <v>31</v>
      </c>
      <c r="E2" s="1">
        <v>121.33</v>
      </c>
      <c r="F2" s="1">
        <v>27.18</v>
      </c>
      <c r="G2" s="1" t="s">
        <v>9</v>
      </c>
    </row>
    <row r="3" spans="1:7" x14ac:dyDescent="0.25">
      <c r="A3" s="1" t="s">
        <v>10</v>
      </c>
      <c r="B3" s="1" t="s">
        <v>11</v>
      </c>
      <c r="C3" s="1">
        <v>3</v>
      </c>
      <c r="D3" s="1">
        <v>34</v>
      </c>
      <c r="E3" s="1">
        <v>121.17</v>
      </c>
      <c r="F3" s="1">
        <v>27.18</v>
      </c>
      <c r="G3" s="1" t="s">
        <v>9</v>
      </c>
    </row>
    <row r="4" spans="1:7" x14ac:dyDescent="0.25">
      <c r="A4" s="1" t="s">
        <v>12</v>
      </c>
      <c r="B4" s="1" t="s">
        <v>13</v>
      </c>
      <c r="C4" s="1">
        <v>2.14</v>
      </c>
      <c r="D4" s="1">
        <v>19</v>
      </c>
      <c r="E4" s="1">
        <v>72.17</v>
      </c>
      <c r="F4" s="1">
        <v>19.39</v>
      </c>
      <c r="G4" s="1" t="s">
        <v>9</v>
      </c>
    </row>
    <row r="5" spans="1:7" x14ac:dyDescent="0.25">
      <c r="A5" s="1" t="s">
        <v>14</v>
      </c>
      <c r="B5" s="1" t="s">
        <v>15</v>
      </c>
      <c r="C5" s="1">
        <v>8.14</v>
      </c>
      <c r="D5" s="1">
        <v>84</v>
      </c>
      <c r="E5" s="1">
        <v>314.67</v>
      </c>
      <c r="F5" s="1">
        <v>73.75</v>
      </c>
      <c r="G5" s="1" t="s">
        <v>16</v>
      </c>
    </row>
    <row r="7" spans="1:7" x14ac:dyDescent="0.25">
      <c r="A7" s="4" t="s">
        <v>87</v>
      </c>
      <c r="B7" s="4" t="s">
        <v>88</v>
      </c>
    </row>
    <row r="8" spans="1:7" x14ac:dyDescent="0.25">
      <c r="A8" s="4" t="s">
        <v>0</v>
      </c>
      <c r="B8" t="s">
        <v>85</v>
      </c>
      <c r="C8" t="s">
        <v>84</v>
      </c>
      <c r="D8" t="s">
        <v>33</v>
      </c>
      <c r="E8" t="s">
        <v>83</v>
      </c>
      <c r="F8" t="s">
        <v>86</v>
      </c>
    </row>
    <row r="9" spans="1:7" x14ac:dyDescent="0.25">
      <c r="A9" s="5" t="s">
        <v>76</v>
      </c>
      <c r="B9" s="6">
        <v>8</v>
      </c>
      <c r="C9" s="6">
        <v>8</v>
      </c>
      <c r="D9" s="6">
        <v>5</v>
      </c>
      <c r="E9" s="6">
        <v>10</v>
      </c>
      <c r="F9" s="6">
        <v>31</v>
      </c>
    </row>
    <row r="10" spans="1:7" x14ac:dyDescent="0.25">
      <c r="A10" s="5" t="s">
        <v>78</v>
      </c>
      <c r="B10" s="6">
        <v>8</v>
      </c>
      <c r="C10" s="6">
        <v>5</v>
      </c>
      <c r="D10" s="6">
        <v>8</v>
      </c>
      <c r="E10" s="6">
        <v>13</v>
      </c>
      <c r="F10" s="6">
        <v>34</v>
      </c>
    </row>
    <row r="11" spans="1:7" x14ac:dyDescent="0.25">
      <c r="A11" s="5" t="s">
        <v>80</v>
      </c>
      <c r="B11" s="6">
        <v>8</v>
      </c>
      <c r="C11" s="6">
        <v>8</v>
      </c>
      <c r="D11" s="6">
        <v>3</v>
      </c>
      <c r="E11" s="6">
        <v>0</v>
      </c>
      <c r="F11" s="6">
        <v>19</v>
      </c>
    </row>
    <row r="12" spans="1:7" x14ac:dyDescent="0.25">
      <c r="A12" s="5" t="s">
        <v>86</v>
      </c>
      <c r="B12" s="6">
        <v>24</v>
      </c>
      <c r="C12" s="6">
        <v>21</v>
      </c>
      <c r="D12" s="6">
        <v>16</v>
      </c>
      <c r="E12" s="6">
        <v>23</v>
      </c>
      <c r="F12" s="6">
        <v>84</v>
      </c>
    </row>
    <row r="15" spans="1:7" x14ac:dyDescent="0.25">
      <c r="A15" s="4" t="s">
        <v>87</v>
      </c>
      <c r="B15" s="4" t="s">
        <v>89</v>
      </c>
    </row>
    <row r="16" spans="1:7" x14ac:dyDescent="0.25">
      <c r="A16" s="4" t="s">
        <v>90</v>
      </c>
      <c r="B16" t="s">
        <v>76</v>
      </c>
      <c r="C16" t="s">
        <v>78</v>
      </c>
      <c r="D16" t="s">
        <v>80</v>
      </c>
      <c r="E16" t="s">
        <v>86</v>
      </c>
    </row>
    <row r="17" spans="1:5" x14ac:dyDescent="0.25">
      <c r="A17" s="5" t="s">
        <v>85</v>
      </c>
      <c r="B17" s="6">
        <v>33</v>
      </c>
      <c r="C17" s="6">
        <v>28.83</v>
      </c>
      <c r="D17" s="6">
        <v>31</v>
      </c>
      <c r="E17" s="6">
        <v>92.83</v>
      </c>
    </row>
    <row r="18" spans="1:5" x14ac:dyDescent="0.25">
      <c r="A18" s="5" t="s">
        <v>84</v>
      </c>
      <c r="B18" s="6">
        <v>33.33</v>
      </c>
      <c r="C18" s="6">
        <v>18.670000000000002</v>
      </c>
      <c r="D18" s="6">
        <v>28.83</v>
      </c>
      <c r="E18" s="6">
        <v>80.83</v>
      </c>
    </row>
    <row r="19" spans="1:5" x14ac:dyDescent="0.25">
      <c r="A19" s="5" t="s">
        <v>33</v>
      </c>
      <c r="B19" s="6">
        <v>19</v>
      </c>
      <c r="C19" s="6">
        <v>27.33</v>
      </c>
      <c r="D19" s="6">
        <v>12.33</v>
      </c>
      <c r="E19" s="6">
        <v>58.66</v>
      </c>
    </row>
    <row r="20" spans="1:5" x14ac:dyDescent="0.25">
      <c r="A20" s="5" t="s">
        <v>83</v>
      </c>
      <c r="B20" s="6">
        <v>36</v>
      </c>
      <c r="C20" s="6">
        <v>46.33</v>
      </c>
      <c r="D20" s="6">
        <v>0</v>
      </c>
      <c r="E20" s="6">
        <v>82.33</v>
      </c>
    </row>
    <row r="21" spans="1:5" x14ac:dyDescent="0.25">
      <c r="A21" s="5" t="s">
        <v>86</v>
      </c>
      <c r="B21" s="6">
        <v>121.33</v>
      </c>
      <c r="C21" s="6">
        <v>121.16</v>
      </c>
      <c r="D21" s="6">
        <v>72.16</v>
      </c>
      <c r="E21" s="6">
        <v>314.64999999999998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selection activeCell="C20" sqref="C20"/>
    </sheetView>
  </sheetViews>
  <sheetFormatPr baseColWidth="10" defaultColWidth="9.140625" defaultRowHeight="15" x14ac:dyDescent="0.25"/>
  <cols>
    <col min="1" max="1" width="15.140625" bestFit="1" customWidth="1"/>
    <col min="2" max="2" width="12.85546875" bestFit="1" customWidth="1"/>
    <col min="3" max="3" width="18.5703125" bestFit="1" customWidth="1"/>
    <col min="4" max="4" width="7.28515625" bestFit="1" customWidth="1"/>
    <col min="5" max="5" width="37" bestFit="1" customWidth="1"/>
    <col min="6" max="6" width="12.5703125" bestFit="1" customWidth="1"/>
    <col min="7" max="7" width="29.5703125" bestFit="1" customWidth="1"/>
    <col min="8" max="8" width="11.5703125" bestFit="1" customWidth="1"/>
    <col min="9" max="9" width="12.7109375" bestFit="1" customWidth="1"/>
    <col min="10" max="10" width="16.28515625" bestFit="1" customWidth="1"/>
    <col min="11" max="11" width="12.5703125" bestFit="1" customWidth="1"/>
    <col min="12" max="12" width="13.7109375" bestFit="1" customWidth="1"/>
    <col min="13" max="13" width="31.28515625" bestFit="1" customWidth="1"/>
  </cols>
  <sheetData>
    <row r="1" spans="1:13" x14ac:dyDescent="0.25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x14ac:dyDescent="0.25">
      <c r="A2" s="3" t="s">
        <v>7</v>
      </c>
      <c r="B2" s="3" t="s">
        <v>29</v>
      </c>
      <c r="C2" s="3">
        <v>3</v>
      </c>
      <c r="D2" s="3" t="s">
        <v>30</v>
      </c>
      <c r="E2" s="3" t="s">
        <v>31</v>
      </c>
      <c r="F2" s="3" t="s">
        <v>32</v>
      </c>
      <c r="G2" s="3" t="s">
        <v>33</v>
      </c>
      <c r="H2" s="3">
        <v>2</v>
      </c>
      <c r="I2" s="3">
        <v>4</v>
      </c>
      <c r="J2" s="3">
        <v>8</v>
      </c>
      <c r="K2" s="3">
        <v>14</v>
      </c>
      <c r="L2" s="3">
        <v>8.33</v>
      </c>
      <c r="M2" s="3">
        <v>27.18</v>
      </c>
    </row>
    <row r="3" spans="1:13" x14ac:dyDescent="0.25">
      <c r="A3" s="3" t="s">
        <v>7</v>
      </c>
      <c r="B3" s="3" t="s">
        <v>29</v>
      </c>
      <c r="C3" s="3">
        <v>3</v>
      </c>
      <c r="D3" s="3" t="s">
        <v>34</v>
      </c>
      <c r="E3" s="3" t="s">
        <v>35</v>
      </c>
      <c r="F3" s="3" t="s">
        <v>36</v>
      </c>
      <c r="G3" s="3" t="s">
        <v>33</v>
      </c>
      <c r="H3" s="3">
        <v>3</v>
      </c>
      <c r="I3" s="3">
        <v>6</v>
      </c>
      <c r="J3" s="3">
        <v>10</v>
      </c>
      <c r="K3" s="3">
        <v>18</v>
      </c>
      <c r="L3" s="3">
        <v>10.67</v>
      </c>
      <c r="M3" s="3">
        <v>27.18</v>
      </c>
    </row>
    <row r="4" spans="1:13" x14ac:dyDescent="0.25">
      <c r="A4" s="3" t="s">
        <v>7</v>
      </c>
      <c r="B4" s="3" t="s">
        <v>29</v>
      </c>
      <c r="C4" s="3">
        <v>3</v>
      </c>
      <c r="D4" s="3" t="s">
        <v>37</v>
      </c>
      <c r="E4" s="3" t="s">
        <v>38</v>
      </c>
      <c r="F4" s="3" t="s">
        <v>32</v>
      </c>
      <c r="G4" s="3" t="s">
        <v>83</v>
      </c>
      <c r="H4" s="3">
        <v>5</v>
      </c>
      <c r="I4" s="3">
        <v>10</v>
      </c>
      <c r="J4" s="3">
        <v>18</v>
      </c>
      <c r="K4" s="3">
        <v>30</v>
      </c>
      <c r="L4" s="3">
        <v>18.670000000000002</v>
      </c>
      <c r="M4" s="3">
        <v>27.18</v>
      </c>
    </row>
    <row r="5" spans="1:13" x14ac:dyDescent="0.25">
      <c r="A5" s="3" t="s">
        <v>7</v>
      </c>
      <c r="B5" s="3" t="s">
        <v>29</v>
      </c>
      <c r="C5" s="3">
        <v>3</v>
      </c>
      <c r="D5" s="3" t="s">
        <v>39</v>
      </c>
      <c r="E5" s="3" t="s">
        <v>40</v>
      </c>
      <c r="F5" s="3" t="s">
        <v>36</v>
      </c>
      <c r="G5" s="3" t="s">
        <v>83</v>
      </c>
      <c r="H5" s="3">
        <v>5</v>
      </c>
      <c r="I5" s="3">
        <v>10</v>
      </c>
      <c r="J5" s="3">
        <v>16</v>
      </c>
      <c r="K5" s="3">
        <v>30</v>
      </c>
      <c r="L5" s="3">
        <v>17.329999999999998</v>
      </c>
      <c r="M5" s="3">
        <v>27.18</v>
      </c>
    </row>
    <row r="6" spans="1:13" x14ac:dyDescent="0.25">
      <c r="A6" s="3" t="s">
        <v>7</v>
      </c>
      <c r="B6" s="3" t="s">
        <v>29</v>
      </c>
      <c r="C6" s="3">
        <v>3</v>
      </c>
      <c r="D6" s="3" t="s">
        <v>41</v>
      </c>
      <c r="E6" s="3" t="s">
        <v>42</v>
      </c>
      <c r="F6" s="3" t="s">
        <v>32</v>
      </c>
      <c r="G6" s="3" t="s">
        <v>84</v>
      </c>
      <c r="H6" s="3">
        <v>5</v>
      </c>
      <c r="I6" s="3">
        <v>10</v>
      </c>
      <c r="J6" s="3">
        <v>18</v>
      </c>
      <c r="K6" s="3">
        <v>30</v>
      </c>
      <c r="L6" s="3">
        <v>18.670000000000002</v>
      </c>
      <c r="M6" s="3">
        <v>27.18</v>
      </c>
    </row>
    <row r="7" spans="1:13" x14ac:dyDescent="0.25">
      <c r="A7" s="3" t="s">
        <v>7</v>
      </c>
      <c r="B7" s="3" t="s">
        <v>29</v>
      </c>
      <c r="C7" s="3">
        <v>3</v>
      </c>
      <c r="D7" s="3" t="s">
        <v>43</v>
      </c>
      <c r="E7" s="3" t="s">
        <v>44</v>
      </c>
      <c r="F7" s="3" t="s">
        <v>36</v>
      </c>
      <c r="G7" s="3" t="s">
        <v>84</v>
      </c>
      <c r="H7" s="3">
        <v>3</v>
      </c>
      <c r="I7" s="3">
        <v>8</v>
      </c>
      <c r="J7" s="3">
        <v>14</v>
      </c>
      <c r="K7" s="3">
        <v>24</v>
      </c>
      <c r="L7" s="3">
        <v>14.67</v>
      </c>
      <c r="M7" s="3">
        <v>27.18</v>
      </c>
    </row>
    <row r="8" spans="1:13" x14ac:dyDescent="0.25">
      <c r="A8" s="3" t="s">
        <v>7</v>
      </c>
      <c r="B8" s="3" t="s">
        <v>29</v>
      </c>
      <c r="C8" s="3">
        <v>3</v>
      </c>
      <c r="D8" s="3" t="s">
        <v>45</v>
      </c>
      <c r="E8" s="3" t="s">
        <v>46</v>
      </c>
      <c r="F8" s="3" t="s">
        <v>36</v>
      </c>
      <c r="G8" s="3" t="s">
        <v>85</v>
      </c>
      <c r="H8" s="3">
        <v>3</v>
      </c>
      <c r="I8" s="3">
        <v>6</v>
      </c>
      <c r="J8" s="3">
        <v>12</v>
      </c>
      <c r="K8" s="3">
        <v>20</v>
      </c>
      <c r="L8" s="3">
        <v>12.33</v>
      </c>
      <c r="M8" s="3">
        <v>27.18</v>
      </c>
    </row>
    <row r="9" spans="1:13" x14ac:dyDescent="0.25">
      <c r="A9" s="3" t="s">
        <v>7</v>
      </c>
      <c r="B9" s="3" t="s">
        <v>29</v>
      </c>
      <c r="C9" s="3">
        <v>3</v>
      </c>
      <c r="D9" s="3" t="s">
        <v>47</v>
      </c>
      <c r="E9" s="3" t="s">
        <v>48</v>
      </c>
      <c r="F9" s="3" t="s">
        <v>36</v>
      </c>
      <c r="G9" s="3" t="s">
        <v>85</v>
      </c>
      <c r="H9" s="3">
        <v>5</v>
      </c>
      <c r="I9" s="3">
        <v>12</v>
      </c>
      <c r="J9" s="3">
        <v>20</v>
      </c>
      <c r="K9" s="3">
        <v>32</v>
      </c>
      <c r="L9" s="3">
        <v>20.67</v>
      </c>
      <c r="M9" s="3">
        <v>27.18</v>
      </c>
    </row>
    <row r="16" spans="1:13" x14ac:dyDescent="0.25">
      <c r="G16">
        <f>21*1.51</f>
        <v>31.71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>
      <selection sqref="A1:M1"/>
    </sheetView>
  </sheetViews>
  <sheetFormatPr baseColWidth="10" defaultColWidth="9.140625" defaultRowHeight="15" x14ac:dyDescent="0.25"/>
  <cols>
    <col min="1" max="1" width="15.140625" bestFit="1" customWidth="1"/>
    <col min="2" max="2" width="12.85546875" bestFit="1" customWidth="1"/>
    <col min="3" max="3" width="18.5703125" bestFit="1" customWidth="1"/>
    <col min="4" max="4" width="7.28515625" bestFit="1" customWidth="1"/>
    <col min="5" max="5" width="38.7109375" bestFit="1" customWidth="1"/>
    <col min="6" max="6" width="12.5703125" bestFit="1" customWidth="1"/>
    <col min="7" max="7" width="29.5703125" bestFit="1" customWidth="1"/>
    <col min="8" max="8" width="11.5703125" bestFit="1" customWidth="1"/>
    <col min="9" max="9" width="12.7109375" bestFit="1" customWidth="1"/>
    <col min="10" max="10" width="16.28515625" bestFit="1" customWidth="1"/>
    <col min="11" max="11" width="12.5703125" bestFit="1" customWidth="1"/>
    <col min="12" max="12" width="13.7109375" bestFit="1" customWidth="1"/>
    <col min="13" max="13" width="31.28515625" bestFit="1" customWidth="1"/>
  </cols>
  <sheetData>
    <row r="1" spans="1:13" x14ac:dyDescent="0.25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x14ac:dyDescent="0.25">
      <c r="A2" s="3" t="s">
        <v>10</v>
      </c>
      <c r="B2" s="3" t="s">
        <v>49</v>
      </c>
      <c r="C2" s="3">
        <v>3</v>
      </c>
      <c r="D2" s="3" t="s">
        <v>50</v>
      </c>
      <c r="E2" s="3" t="s">
        <v>51</v>
      </c>
      <c r="F2" s="3" t="s">
        <v>36</v>
      </c>
      <c r="G2" s="3" t="s">
        <v>33</v>
      </c>
      <c r="H2" s="3">
        <v>3</v>
      </c>
      <c r="I2" s="3">
        <v>6</v>
      </c>
      <c r="J2" s="3">
        <v>10</v>
      </c>
      <c r="K2" s="3">
        <v>16</v>
      </c>
      <c r="L2" s="3">
        <v>10.33</v>
      </c>
      <c r="M2" s="3">
        <v>27.18</v>
      </c>
    </row>
    <row r="3" spans="1:13" x14ac:dyDescent="0.25">
      <c r="A3" s="3" t="s">
        <v>10</v>
      </c>
      <c r="B3" s="3" t="s">
        <v>49</v>
      </c>
      <c r="C3" s="3">
        <v>3</v>
      </c>
      <c r="D3" s="3" t="s">
        <v>52</v>
      </c>
      <c r="E3" s="3" t="s">
        <v>53</v>
      </c>
      <c r="F3" s="3" t="s">
        <v>32</v>
      </c>
      <c r="G3" s="3" t="s">
        <v>33</v>
      </c>
      <c r="H3" s="3">
        <v>5</v>
      </c>
      <c r="I3" s="3">
        <v>10</v>
      </c>
      <c r="J3" s="3">
        <v>16</v>
      </c>
      <c r="K3" s="3">
        <v>28</v>
      </c>
      <c r="L3" s="3">
        <v>17</v>
      </c>
      <c r="M3" s="3">
        <v>27.18</v>
      </c>
    </row>
    <row r="4" spans="1:13" x14ac:dyDescent="0.25">
      <c r="A4" s="3" t="s">
        <v>10</v>
      </c>
      <c r="B4" s="3" t="s">
        <v>49</v>
      </c>
      <c r="C4" s="3">
        <v>3</v>
      </c>
      <c r="D4" s="3" t="s">
        <v>54</v>
      </c>
      <c r="E4" s="3" t="s">
        <v>55</v>
      </c>
      <c r="F4" s="3" t="s">
        <v>36</v>
      </c>
      <c r="G4" s="3" t="s">
        <v>83</v>
      </c>
      <c r="H4" s="3">
        <v>3</v>
      </c>
      <c r="I4" s="3">
        <v>6</v>
      </c>
      <c r="J4" s="3">
        <v>12</v>
      </c>
      <c r="K4" s="3">
        <v>20</v>
      </c>
      <c r="L4" s="3">
        <v>12.33</v>
      </c>
      <c r="M4" s="3">
        <v>27.18</v>
      </c>
    </row>
    <row r="5" spans="1:13" x14ac:dyDescent="0.25">
      <c r="A5" s="3" t="s">
        <v>10</v>
      </c>
      <c r="B5" s="3" t="s">
        <v>49</v>
      </c>
      <c r="C5" s="3">
        <v>3</v>
      </c>
      <c r="D5" s="3" t="s">
        <v>56</v>
      </c>
      <c r="E5" s="3" t="s">
        <v>57</v>
      </c>
      <c r="F5" s="3" t="s">
        <v>36</v>
      </c>
      <c r="G5" s="3" t="s">
        <v>83</v>
      </c>
      <c r="H5" s="3">
        <v>5</v>
      </c>
      <c r="I5" s="3">
        <v>10</v>
      </c>
      <c r="J5" s="3">
        <v>16</v>
      </c>
      <c r="K5" s="3">
        <v>28</v>
      </c>
      <c r="L5" s="3">
        <v>17</v>
      </c>
      <c r="M5" s="3">
        <v>27.18</v>
      </c>
    </row>
    <row r="6" spans="1:13" x14ac:dyDescent="0.25">
      <c r="A6" s="3" t="s">
        <v>10</v>
      </c>
      <c r="B6" s="3" t="s">
        <v>49</v>
      </c>
      <c r="C6" s="3">
        <v>3</v>
      </c>
      <c r="D6" s="3" t="s">
        <v>58</v>
      </c>
      <c r="E6" s="3" t="s">
        <v>59</v>
      </c>
      <c r="F6" s="3" t="s">
        <v>32</v>
      </c>
      <c r="G6" s="3" t="s">
        <v>83</v>
      </c>
      <c r="H6" s="3">
        <v>5</v>
      </c>
      <c r="I6" s="3">
        <v>10</v>
      </c>
      <c r="J6" s="3">
        <v>16</v>
      </c>
      <c r="K6" s="3">
        <v>28</v>
      </c>
      <c r="L6" s="3">
        <v>17</v>
      </c>
      <c r="M6" s="3">
        <v>27.18</v>
      </c>
    </row>
    <row r="7" spans="1:13" x14ac:dyDescent="0.25">
      <c r="A7" s="3" t="s">
        <v>10</v>
      </c>
      <c r="B7" s="3" t="s">
        <v>49</v>
      </c>
      <c r="C7" s="3">
        <v>3</v>
      </c>
      <c r="D7" s="3" t="s">
        <v>60</v>
      </c>
      <c r="E7" s="3" t="s">
        <v>61</v>
      </c>
      <c r="F7" s="3" t="s">
        <v>36</v>
      </c>
      <c r="G7" s="3" t="s">
        <v>84</v>
      </c>
      <c r="H7" s="3">
        <v>5</v>
      </c>
      <c r="I7" s="3">
        <v>10</v>
      </c>
      <c r="J7" s="3">
        <v>18</v>
      </c>
      <c r="K7" s="3">
        <v>30</v>
      </c>
      <c r="L7" s="3">
        <v>18.670000000000002</v>
      </c>
      <c r="M7" s="3">
        <v>27.18</v>
      </c>
    </row>
    <row r="8" spans="1:13" x14ac:dyDescent="0.25">
      <c r="A8" s="3" t="s">
        <v>10</v>
      </c>
      <c r="B8" s="3" t="s">
        <v>49</v>
      </c>
      <c r="C8" s="3">
        <v>3</v>
      </c>
      <c r="D8" s="3" t="s">
        <v>62</v>
      </c>
      <c r="E8" s="3" t="s">
        <v>63</v>
      </c>
      <c r="F8" s="3" t="s">
        <v>36</v>
      </c>
      <c r="G8" s="3" t="s">
        <v>85</v>
      </c>
      <c r="H8" s="3">
        <v>8</v>
      </c>
      <c r="I8" s="3">
        <v>16</v>
      </c>
      <c r="J8" s="3">
        <v>28</v>
      </c>
      <c r="K8" s="3">
        <v>45</v>
      </c>
      <c r="L8" s="3">
        <v>28.83</v>
      </c>
      <c r="M8" s="3">
        <v>27.18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>
      <selection activeCell="H2" sqref="H2"/>
    </sheetView>
  </sheetViews>
  <sheetFormatPr baseColWidth="10" defaultColWidth="9.140625" defaultRowHeight="15" x14ac:dyDescent="0.25"/>
  <cols>
    <col min="1" max="1" width="15.140625" bestFit="1" customWidth="1"/>
    <col min="2" max="2" width="15.42578125" bestFit="1" customWidth="1"/>
    <col min="3" max="3" width="18.5703125" bestFit="1" customWidth="1"/>
    <col min="4" max="4" width="7.28515625" bestFit="1" customWidth="1"/>
    <col min="5" max="5" width="30.85546875" bestFit="1" customWidth="1"/>
    <col min="6" max="6" width="12.5703125" bestFit="1" customWidth="1"/>
    <col min="7" max="7" width="29.5703125" bestFit="1" customWidth="1"/>
    <col min="8" max="8" width="11.5703125" bestFit="1" customWidth="1"/>
    <col min="9" max="9" width="12.7109375" bestFit="1" customWidth="1"/>
    <col min="10" max="10" width="16.28515625" bestFit="1" customWidth="1"/>
    <col min="11" max="11" width="12.5703125" bestFit="1" customWidth="1"/>
    <col min="12" max="12" width="13.7109375" bestFit="1" customWidth="1"/>
    <col min="13" max="13" width="31.28515625" bestFit="1" customWidth="1"/>
  </cols>
  <sheetData>
    <row r="1" spans="1:13" x14ac:dyDescent="0.25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x14ac:dyDescent="0.25">
      <c r="A2" s="1" t="s">
        <v>12</v>
      </c>
      <c r="B2" s="1" t="s">
        <v>64</v>
      </c>
      <c r="C2" s="1">
        <v>2.14</v>
      </c>
      <c r="D2" s="1" t="s">
        <v>65</v>
      </c>
      <c r="E2" s="1" t="s">
        <v>66</v>
      </c>
      <c r="F2" s="1" t="s">
        <v>32</v>
      </c>
      <c r="G2" s="1" t="s">
        <v>33</v>
      </c>
      <c r="H2" s="1">
        <v>3</v>
      </c>
      <c r="I2" s="1">
        <v>6</v>
      </c>
      <c r="J2" s="1">
        <v>12</v>
      </c>
      <c r="K2" s="1">
        <v>20</v>
      </c>
      <c r="L2" s="1">
        <v>12.33</v>
      </c>
      <c r="M2" s="1">
        <v>19.39</v>
      </c>
    </row>
    <row r="3" spans="1:13" x14ac:dyDescent="0.25">
      <c r="A3" s="1" t="s">
        <v>12</v>
      </c>
      <c r="B3" s="1" t="s">
        <v>64</v>
      </c>
      <c r="C3" s="1">
        <v>2.14</v>
      </c>
      <c r="D3" s="1" t="s">
        <v>67</v>
      </c>
      <c r="E3" s="1" t="s">
        <v>68</v>
      </c>
      <c r="F3" s="1" t="s">
        <v>32</v>
      </c>
      <c r="G3" s="1" t="s">
        <v>84</v>
      </c>
      <c r="H3" s="1">
        <v>8</v>
      </c>
      <c r="I3" s="1">
        <v>16</v>
      </c>
      <c r="J3" s="1">
        <v>28</v>
      </c>
      <c r="K3" s="1">
        <v>45</v>
      </c>
      <c r="L3" s="1">
        <v>28.83</v>
      </c>
      <c r="M3" s="1">
        <v>19.39</v>
      </c>
    </row>
    <row r="4" spans="1:13" x14ac:dyDescent="0.25">
      <c r="A4" s="1" t="s">
        <v>12</v>
      </c>
      <c r="B4" s="1" t="s">
        <v>64</v>
      </c>
      <c r="C4" s="1">
        <v>2.14</v>
      </c>
      <c r="D4" s="1" t="s">
        <v>69</v>
      </c>
      <c r="E4" s="1" t="s">
        <v>70</v>
      </c>
      <c r="F4" s="1" t="s">
        <v>36</v>
      </c>
      <c r="G4" s="1" t="s">
        <v>85</v>
      </c>
      <c r="H4" s="1">
        <v>8</v>
      </c>
      <c r="I4" s="1">
        <v>16</v>
      </c>
      <c r="J4" s="1">
        <v>30</v>
      </c>
      <c r="K4" s="1">
        <v>50</v>
      </c>
      <c r="L4" s="1">
        <v>31</v>
      </c>
      <c r="M4" s="1">
        <v>19.39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D7" sqref="D7"/>
    </sheetView>
  </sheetViews>
  <sheetFormatPr baseColWidth="10" defaultColWidth="9.140625" defaultRowHeight="15" x14ac:dyDescent="0.25"/>
  <cols>
    <col min="1" max="1" width="18.85546875" bestFit="1" customWidth="1"/>
    <col min="2" max="2" width="7.7109375" bestFit="1" customWidth="1"/>
    <col min="3" max="3" width="12.5703125" bestFit="1" customWidth="1"/>
    <col min="4" max="4" width="10.7109375" bestFit="1" customWidth="1"/>
    <col min="5" max="5" width="18.85546875" bestFit="1" customWidth="1"/>
    <col min="6" max="6" width="27.28515625" bestFit="1" customWidth="1"/>
  </cols>
  <sheetData>
    <row r="1" spans="1:6" x14ac:dyDescent="0.25">
      <c r="A1" s="2" t="s">
        <v>71</v>
      </c>
      <c r="B1" s="2" t="s">
        <v>0</v>
      </c>
      <c r="C1" s="2" t="s">
        <v>72</v>
      </c>
      <c r="D1" s="2" t="s">
        <v>73</v>
      </c>
      <c r="E1" s="2" t="s">
        <v>74</v>
      </c>
      <c r="F1" s="2" t="s">
        <v>75</v>
      </c>
    </row>
    <row r="2" spans="1:6" x14ac:dyDescent="0.25">
      <c r="A2" s="1" t="s">
        <v>33</v>
      </c>
      <c r="B2" s="1" t="s">
        <v>76</v>
      </c>
      <c r="C2" s="1">
        <v>5</v>
      </c>
      <c r="D2" s="1">
        <v>19</v>
      </c>
      <c r="E2" s="1">
        <v>27.18</v>
      </c>
      <c r="F2" s="1" t="s">
        <v>77</v>
      </c>
    </row>
    <row r="3" spans="1:6" x14ac:dyDescent="0.25">
      <c r="A3" s="1" t="s">
        <v>33</v>
      </c>
      <c r="B3" s="1" t="s">
        <v>78</v>
      </c>
      <c r="C3" s="1">
        <v>8</v>
      </c>
      <c r="D3" s="1">
        <v>27.33</v>
      </c>
      <c r="E3" s="1">
        <v>27.18</v>
      </c>
      <c r="F3" s="1" t="s">
        <v>79</v>
      </c>
    </row>
    <row r="4" spans="1:6" x14ac:dyDescent="0.25">
      <c r="A4" s="1" t="s">
        <v>33</v>
      </c>
      <c r="B4" s="1" t="s">
        <v>80</v>
      </c>
      <c r="C4" s="1">
        <v>3</v>
      </c>
      <c r="D4" s="1">
        <v>12.33</v>
      </c>
      <c r="E4" s="1">
        <v>19.39</v>
      </c>
      <c r="F4" s="1" t="s">
        <v>77</v>
      </c>
    </row>
    <row r="5" spans="1:6" x14ac:dyDescent="0.25">
      <c r="A5" s="1" t="s">
        <v>83</v>
      </c>
      <c r="B5" s="1" t="s">
        <v>76</v>
      </c>
      <c r="C5" s="1">
        <v>10</v>
      </c>
      <c r="D5" s="1">
        <v>36</v>
      </c>
      <c r="E5" s="1">
        <v>27.18</v>
      </c>
      <c r="F5" s="1" t="s">
        <v>81</v>
      </c>
    </row>
    <row r="6" spans="1:6" x14ac:dyDescent="0.25">
      <c r="A6" s="1" t="s">
        <v>83</v>
      </c>
      <c r="B6" s="1" t="s">
        <v>78</v>
      </c>
      <c r="C6" s="1">
        <v>13</v>
      </c>
      <c r="D6" s="1">
        <v>46.33</v>
      </c>
      <c r="E6" s="1">
        <v>27.18</v>
      </c>
      <c r="F6" s="1" t="s">
        <v>81</v>
      </c>
    </row>
    <row r="7" spans="1:6" x14ac:dyDescent="0.25">
      <c r="A7" s="1" t="s">
        <v>83</v>
      </c>
      <c r="B7" s="1" t="s">
        <v>80</v>
      </c>
      <c r="C7" s="1">
        <v>0</v>
      </c>
      <c r="D7" s="1">
        <v>0</v>
      </c>
      <c r="E7" s="1">
        <v>19.39</v>
      </c>
      <c r="F7" s="1" t="s">
        <v>82</v>
      </c>
    </row>
    <row r="8" spans="1:6" x14ac:dyDescent="0.25">
      <c r="A8" s="1" t="s">
        <v>84</v>
      </c>
      <c r="B8" s="1" t="s">
        <v>76</v>
      </c>
      <c r="C8" s="1">
        <v>8</v>
      </c>
      <c r="D8" s="1">
        <v>33.33</v>
      </c>
      <c r="E8" s="1">
        <v>27.18</v>
      </c>
      <c r="F8" s="1" t="s">
        <v>81</v>
      </c>
    </row>
    <row r="9" spans="1:6" x14ac:dyDescent="0.25">
      <c r="A9" s="1" t="s">
        <v>84</v>
      </c>
      <c r="B9" s="1" t="s">
        <v>78</v>
      </c>
      <c r="C9" s="1">
        <v>5</v>
      </c>
      <c r="D9" s="1">
        <v>18.670000000000002</v>
      </c>
      <c r="E9" s="1">
        <v>27.18</v>
      </c>
      <c r="F9" s="1" t="s">
        <v>77</v>
      </c>
    </row>
    <row r="10" spans="1:6" x14ac:dyDescent="0.25">
      <c r="A10" s="1" t="s">
        <v>84</v>
      </c>
      <c r="B10" s="1" t="s">
        <v>80</v>
      </c>
      <c r="C10" s="1">
        <v>8</v>
      </c>
      <c r="D10" s="1">
        <v>28.83</v>
      </c>
      <c r="E10" s="1">
        <v>19.39</v>
      </c>
      <c r="F10" s="1" t="s">
        <v>81</v>
      </c>
    </row>
    <row r="11" spans="1:6" x14ac:dyDescent="0.25">
      <c r="A11" s="1" t="s">
        <v>85</v>
      </c>
      <c r="B11" s="1" t="s">
        <v>76</v>
      </c>
      <c r="C11" s="1">
        <v>8</v>
      </c>
      <c r="D11" s="1">
        <v>33</v>
      </c>
      <c r="E11" s="1">
        <v>27.18</v>
      </c>
      <c r="F11" s="1" t="s">
        <v>81</v>
      </c>
    </row>
    <row r="12" spans="1:6" x14ac:dyDescent="0.25">
      <c r="A12" s="1" t="s">
        <v>85</v>
      </c>
      <c r="B12" s="1" t="s">
        <v>78</v>
      </c>
      <c r="C12" s="1">
        <v>8</v>
      </c>
      <c r="D12" s="1">
        <v>28.83</v>
      </c>
      <c r="E12" s="1">
        <v>27.18</v>
      </c>
      <c r="F12" s="1" t="s">
        <v>81</v>
      </c>
    </row>
    <row r="13" spans="1:6" x14ac:dyDescent="0.25">
      <c r="A13" s="1" t="s">
        <v>85</v>
      </c>
      <c r="B13" s="1" t="s">
        <v>80</v>
      </c>
      <c r="C13" s="1">
        <v>8</v>
      </c>
      <c r="D13" s="1">
        <v>31</v>
      </c>
      <c r="E13" s="1">
        <v>19.39</v>
      </c>
      <c r="F13" s="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Sprints</vt:lpstr>
      <vt:lpstr>Sprint 1 (MVP 1)</vt:lpstr>
      <vt:lpstr>Sprint 2 (MVP 2)</vt:lpstr>
      <vt:lpstr>Sprint 3 (MVP 3)</vt:lpstr>
      <vt:lpstr>Validacion Carga por Persona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Pablito Forero salazar</cp:lastModifiedBy>
  <dcterms:created xsi:type="dcterms:W3CDTF">2026-09-06T08:30:41Z</dcterms:created>
  <dcterms:modified xsi:type="dcterms:W3CDTF">2026-09-06T08:51:42Z</dcterms:modified>
</cp:coreProperties>
</file>